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9e5fcd908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1a079c5f2844543"/>
    <x:sheet xmlns:r="http://schemas.openxmlformats.org/officeDocument/2006/relationships" name="Retrieval_Metrics" sheetId="2" r:id="Rfda48e1642734098"/>
    <x:sheet xmlns:r="http://schemas.openxmlformats.org/officeDocument/2006/relationships" name="Cost_Model" sheetId="3" r:id="R32d72625a2344614"/>
    <x:sheet xmlns:r="http://schemas.openxmlformats.org/officeDocument/2006/relationships" name="QA_Scenarios" sheetId="4" r:id="R2e9e05711c87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원"/>
    <x:numFmt numFmtId="202" formatCode="0.00"/>
    <x:numFmt numFmtId="203" formatCode="#,##0"/>
    <x:numFmt numFmtId="204" formatCode="yyyy-mm-dd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F5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A6F"/>
      </x:patternFill>
    </x:fill>
    <x:fill>
      <x:patternFill patternType="solid">
        <x:fgColor rgb="FFDDEB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aa3484cdb4182" /><Relationship Type="http://schemas.openxmlformats.org/officeDocument/2006/relationships/theme" Target="/xl/theme/theme1.xml" Id="R9edfc660bf8342a5" /><Relationship Type="http://schemas.openxmlformats.org/officeDocument/2006/relationships/sharedStrings" Target="/xl/sharedStrings.xml" Id="R0bc5a339ad8d4811" /><Relationship Type="http://schemas.openxmlformats.org/officeDocument/2006/relationships/worksheet" Target="/xl/worksheets/sheet1.xml" Id="R91a079c5f2844543" /><Relationship Type="http://schemas.openxmlformats.org/officeDocument/2006/relationships/worksheet" Target="/xl/worksheets/sheet2.xml" Id="Rfda48e1642734098" /><Relationship Type="http://schemas.openxmlformats.org/officeDocument/2006/relationships/worksheet" Target="/xl/worksheets/sheet3.xml" Id="R32d72625a2344614" /><Relationship Type="http://schemas.openxmlformats.org/officeDocument/2006/relationships/worksheet" Target="/xl/worksheets/sheet4.xml" Id="R2e9e05711c8740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950a1b5292403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Top-5 정확도</c:v>
          </c:tx>
          <c:cat>
            <c:strRef>
              <c:f>'Retrieval_Metrics'!$A$4:$A$8</c:f>
              <c:strCache>
                <c:ptCount val="0"/>
              </c:strCache>
            </c:strRef>
          </c:cat>
          <c:val>
            <c:numRef>
              <c:f>'Retrieval_Metrics'!$B$4:$B$8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50a1b529240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cisionTable" displayName="DecisionTable" ref="A11:H16" headerRowCount="1" totalsRowCount="0" totalsRowShown="0">
  <x:tableColumns count="8">
    <x:tableColumn id="1" name="의사결정 항목"/>
    <x:tableColumn id="2" name="옵션 A"/>
    <x:tableColumn id="3" name="옵션 B"/>
    <x:tableColumn id="4" name="선택"/>
    <x:tableColumn id="5" name="근거"/>
    <x:tableColumn id="6" name="담당"/>
    <x:tableColumn id="7" name="마감"/>
    <x:tableColumn id="8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rievalMetricsTable" displayName="RetrievalMetricsTable" ref="A3:H8" headerRowCount="1" totalsRowCount="0" totalsRowShown="0">
  <x:tableColumns count="8">
    <x:tableColumn id="1" name="방식"/>
    <x:tableColumn id="2" name="Top-5 정확도"/>
    <x:tableColumn id="3" name="평균 응답시간(초)"/>
    <x:tableColumn id="4" name="근거 표시율"/>
    <x:tableColumn id="5" name="월 예상비용"/>
    <x:tableColumn id="6" name="운영 적합 여부"/>
    <x:tableColumn id="7" name="비고"/>
    <x:tableColumn id="8" name="통과점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Table" displayName="CostTable" ref="A3:H9" headerRowCount="1" totalsRowCount="0" totalsRowShown="0">
  <x:tableColumns count="8">
    <x:tableColumn id="1" name="비용 항목"/>
    <x:tableColumn id="2" name="단가"/>
    <x:tableColumn id="3" name="수량"/>
    <x:tableColumn id="4" name="월 횟수"/>
    <x:tableColumn id="5" name="월 비용"/>
    <x:tableColumn id="6" name="비중"/>
    <x:tableColumn id="7" name="상한 대비"/>
    <x:tableColumn id="8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able" displayName="QATable" ref="A3:H12" headerRowCount="1" totalsRowCount="0" totalsRowShown="0">
  <x:tableColumns count="8">
    <x:tableColumn id="1" name="질문ID"/>
    <x:tableColumn id="2" name="질문"/>
    <x:tableColumn id="3" name="필요 파일"/>
    <x:tableColumn id="4" name="정답 포인트"/>
    <x:tableColumn id="5" name="난이도"/>
    <x:tableColumn id="6" name="평가 기준"/>
    <x:tableColumn id="7" name="예상 근거"/>
    <x:tableColumn id="8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2f6203e68a42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50848b630ab4242" /><Relationship Type="http://schemas.openxmlformats.org/officeDocument/2006/relationships/table" Target="/xl/tables/table2.xml" Id="Re039a885cb97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769473961547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a4a1f66d49437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20" t="str">
        <x:v>사내 회의 지식검색용 RAG 시스템 도입안 — XLSX 테스트 자료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1"/>
      <x:c r="J1" s="21"/>
      <x:c r="K1" s="21"/>
      <x:c r="L1" s="21"/>
      <x:c r="M1" s="21"/>
    </x:row>
    <x:row r="2">
      <x:c r="A2" s="21" t="str">
        <x:v>사람 5 — 재무/운영 관점 요약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/>
      <x:c r="J2" s="21"/>
      <x:c r="K2" s="21"/>
      <x:c r="L2" s="21"/>
      <x:c r="M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 ht="30" customHeight="1">
      <x:c r="A4" s="14" t="str">
        <x:v>항목</x:v>
      </x:c>
      <x:c r="B4" s="14" t="str">
        <x:v>값</x:v>
      </x:c>
      <x:c r="C4" s="21"/>
      <x:c r="D4" s="14" t="str">
        <x:v>핵심 결론</x:v>
      </x:c>
      <x:c r="E4" s="14" t="str">
        <x:v>근거</x:v>
      </x:c>
      <x:c r="F4" s="14"/>
      <x:c r="G4" s="14"/>
      <x:c r="H4" s="14"/>
      <x:c r="I4" s="21"/>
      <x:c r="J4" s="21"/>
      <x:c r="K4" s="21"/>
      <x:c r="L4" s="21"/>
      <x:c r="M4" s="21"/>
    </x:row>
    <x:row r="5" ht="30" customHeight="1">
      <x:c r="A5" s="21" t="str">
        <x:v>파일럿 대상 문서 수</x:v>
      </x:c>
      <x:c r="B5" s="30" t="n">
        <x:v>3000</x:v>
      </x:c>
      <x:c r="C5" s="21"/>
      <x:c r="D5" s="21" t="str">
        <x:v>단계적 도입</x:v>
      </x:c>
      <x:c r="E5" s="21" t="str">
        <x:v>보안 검토와 평가셋 정비가 선행되어야 함</x:v>
      </x:c>
      <x:c r="F5" s="21"/>
      <x:c r="G5" s="21"/>
      <x:c r="H5" s="21"/>
      <x:c r="I5" s="21"/>
      <x:c r="J5" s="21"/>
      <x:c r="K5" s="21"/>
      <x:c r="L5" s="21"/>
      <x:c r="M5" s="21"/>
    </x:row>
    <x:row r="6" ht="30" customHeight="1">
      <x:c r="A6" s="21" t="str">
        <x:v>운영 기준 유효 문서 수</x:v>
      </x:c>
      <x:c r="B6" s="30" t="n">
        <x:v>12400</x:v>
      </x:c>
      <x:c r="C6" s="21"/>
      <x:c r="D6" s="21" t="str">
        <x:v>Hybrid+Rerank 우선</x:v>
      </x:c>
      <x:c r="E6" s="21" t="str">
        <x:v>이미지 자료 기준 Top-5 정확도 89%</x:v>
      </x:c>
      <x:c r="F6" s="21"/>
      <x:c r="G6" s="21"/>
      <x:c r="H6" s="21"/>
      <x:c r="I6" s="21"/>
      <x:c r="J6" s="21"/>
      <x:c r="K6" s="21"/>
      <x:c r="L6" s="21"/>
      <x:c r="M6" s="21"/>
    </x:row>
    <x:row r="7" ht="30" customHeight="1">
      <x:c r="A7" s="21" t="str">
        <x:v>월 목표 비용</x:v>
      </x:c>
      <x:c r="B7" s="30" t="n">
        <x:v>1800000</x:v>
      </x:c>
      <x:c r="C7" s="21"/>
      <x:c r="D7" s="21" t="str">
        <x:v>비용 상한 관리</x:v>
      </x:c>
      <x:c r="E7" s="21" t="str">
        <x:v>월 180만원 이내일 때 승인 가능</x:v>
      </x:c>
      <x:c r="F7" s="21"/>
      <x:c r="G7" s="21"/>
      <x:c r="H7" s="21"/>
      <x:c r="I7" s="21"/>
      <x:c r="J7" s="21"/>
      <x:c r="K7" s="21"/>
      <x:c r="L7" s="21"/>
      <x:c r="M7" s="21"/>
    </x:row>
    <x:row r="8" ht="30" customHeight="1">
      <x:c r="A8" s="21" t="str">
        <x:v>최소 허용 정확도</x:v>
      </x:c>
      <x:c r="B8" s="24" t="n">
        <x:v>0.86</x:v>
      </x:c>
      <x:c r="C8" s="21"/>
      <x:c r="D8" s="21" t="str">
        <x:v>수동 검색 fallback</x:v>
      </x:c>
      <x:c r="E8" s="21" t="str">
        <x:v>장애 또는 근거 누락 시 즉시 전환</x:v>
      </x:c>
      <x:c r="F8" s="21"/>
      <x:c r="G8" s="21"/>
      <x:c r="H8" s="21"/>
      <x:c r="I8" s="21"/>
      <x:c r="J8" s="21"/>
      <x:c r="K8" s="21"/>
      <x:c r="L8" s="21"/>
      <x:c r="M8" s="21"/>
    </x:row>
    <x:row r="9" ht="30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</x:row>
    <x:row r="10" ht="30" customHeight="1">
      <x:c r="A10" s="21" t="str">
        <x:v>의사결정 요약표</x:v>
      </x:c>
      <x:c r="B10" s="21" t="str"/>
      <x:c r="C10" s="21" t="str"/>
      <x:c r="D10" s="21" t="str"/>
      <x:c r="E10" s="21" t="str"/>
      <x:c r="F10" s="21" t="str"/>
      <x:c r="G10" s="21" t="str"/>
      <x:c r="H10" s="21" t="str"/>
      <x:c r="I10" s="21"/>
      <x:c r="J10" s="21"/>
      <x:c r="K10" s="21"/>
      <x:c r="L10" s="21"/>
      <x:c r="M10" s="21"/>
    </x:row>
    <x:row r="11" ht="30" customHeight="1">
      <x:c r="A11" s="14" t="str">
        <x:v>의사결정 항목</x:v>
      </x:c>
      <x:c r="B11" s="14" t="str">
        <x:v>옵션 A</x:v>
      </x:c>
      <x:c r="C11" s="14" t="str">
        <x:v>옵션 B</x:v>
      </x:c>
      <x:c r="D11" s="14" t="str">
        <x:v>선택</x:v>
      </x:c>
      <x:c r="E11" s="14" t="str">
        <x:v>근거</x:v>
      </x:c>
      <x:c r="F11" s="14" t="str">
        <x:v>담당</x:v>
      </x:c>
      <x:c r="G11" s="14" t="str">
        <x:v>마감</x:v>
      </x:c>
      <x:c r="H11" s="14" t="str">
        <x:v>상태</x:v>
      </x:c>
      <x:c r="I11" s="21"/>
      <x:c r="J11" s="21"/>
      <x:c r="K11" s="21"/>
      <x:c r="L11" s="21"/>
      <x:c r="M11" s="21"/>
    </x:row>
    <x:row r="12" ht="30" customHeight="1">
      <x:c r="A12" s="21" t="str">
        <x:v>검색 방식</x:v>
      </x:c>
      <x:c r="B12" s="21" t="str">
        <x:v>Dense</x:v>
      </x:c>
      <x:c r="C12" s="21" t="str">
        <x:v>Hybrid+Rerank</x:v>
      </x:c>
      <x:c r="D12" s="21" t="str">
        <x:v>Hybrid+Rerank</x:v>
      </x:c>
      <x:c r="E12" s="21" t="str">
        <x:v>정확도 89%로 최고</x:v>
      </x:c>
      <x:c r="F12" s="21" t="str">
        <x:v>플랫폼팀</x:v>
      </x:c>
      <x:c r="G12" s="32" t="n">
        <x:v>46256</x:v>
      </x:c>
      <x:c r="H12" s="21" t="str">
        <x:v>진행중</x:v>
      </x:c>
      <x:c r="I12" s="21"/>
      <x:c r="J12" s="21"/>
      <x:c r="K12" s="21"/>
      <x:c r="L12" s="21"/>
      <x:c r="M12" s="21"/>
    </x:row>
    <x:row r="13" ht="30" customHeight="1">
      <x:c r="A13" s="21" t="str">
        <x:v>권한 처리</x:v>
      </x:c>
      <x:c r="B13" s="21" t="str">
        <x:v>문서 단위</x:v>
      </x:c>
      <x:c r="C13" s="21" t="str">
        <x:v>문단 단위 ACL</x:v>
      </x:c>
      <x:c r="D13" s="21" t="str">
        <x:v>문단 단위 ACL</x:v>
      </x:c>
      <x:c r="E13" s="21" t="str">
        <x:v>회의록 일부만 접근 가능한 경우 대비</x:v>
      </x:c>
      <x:c r="F13" s="21" t="str">
        <x:v>보안팀</x:v>
      </x:c>
      <x:c r="G13" s="32" t="n">
        <x:v>46263</x:v>
      </x:c>
      <x:c r="H13" s="21" t="str">
        <x:v>대기</x:v>
      </x:c>
      <x:c r="I13" s="21"/>
      <x:c r="J13" s="21"/>
      <x:c r="K13" s="21"/>
      <x:c r="L13" s="21"/>
      <x:c r="M13" s="21"/>
    </x:row>
    <x:row r="14" ht="30" customHeight="1">
      <x:c r="A14" s="21" t="str">
        <x:v>평가셋</x:v>
      </x:c>
      <x:c r="B14" s="21" t="str">
        <x:v>질문 30개</x:v>
      </x:c>
      <x:c r="C14" s="21" t="str">
        <x:v>질문 120개</x:v>
      </x:c>
      <x:c r="D14" s="21" t="str">
        <x:v>질문 120개</x:v>
      </x:c>
      <x:c r="E14" s="21" t="str">
        <x:v>부서별 난이도 차이 반영</x:v>
      </x:c>
      <x:c r="F14" s="21" t="str">
        <x:v>데이터팀</x:v>
      </x:c>
      <x:c r="G14" s="32" t="n">
        <x:v>46259</x:v>
      </x:c>
      <x:c r="H14" s="21" t="str">
        <x:v>진행중</x:v>
      </x:c>
      <x:c r="I14" s="21"/>
      <x:c r="J14" s="21"/>
      <x:c r="K14" s="21"/>
      <x:c r="L14" s="21"/>
      <x:c r="M14" s="21"/>
    </x:row>
    <x:row r="15" ht="30" customHeight="1">
      <x:c r="A15" s="21" t="str">
        <x:v>배포 방식</x:v>
      </x:c>
      <x:c r="B15" s="21" t="str">
        <x:v>전체 공개</x:v>
      </x:c>
      <x:c r="C15" s="21" t="str">
        <x:v>2개 부서 파일럿</x:v>
      </x:c>
      <x:c r="D15" s="21" t="str">
        <x:v>2개 부서 파일럿</x:v>
      </x:c>
      <x:c r="E15" s="21" t="str">
        <x:v>운영 리스크 최소화</x:v>
      </x:c>
      <x:c r="F15" s="21" t="str">
        <x:v>PM</x:v>
      </x:c>
      <x:c r="G15" s="32" t="n">
        <x:v>46270</x:v>
      </x:c>
      <x:c r="H15" s="21" t="str">
        <x:v>확정</x:v>
      </x:c>
      <x:c r="I15" s="21"/>
      <x:c r="J15" s="21"/>
      <x:c r="K15" s="21"/>
      <x:c r="L15" s="21"/>
      <x:c r="M15" s="21"/>
    </x:row>
    <x:row r="16" ht="30" customHeight="1">
      <x:c r="A16" s="21" t="str">
        <x:v>비용 승인</x:v>
      </x:c>
      <x:c r="B16" s="21" t="str">
        <x:v>월 280만원</x:v>
      </x:c>
      <x:c r="C16" s="21" t="str">
        <x:v>월 180만원 이하</x:v>
      </x:c>
      <x:c r="D16" s="21" t="str">
        <x:v>월 180만원 이하</x:v>
      </x:c>
      <x:c r="E16" s="21" t="str">
        <x:v>운영팀 기준선 충족</x:v>
      </x:c>
      <x:c r="F16" s="21" t="str">
        <x:v>재무팀</x:v>
      </x:c>
      <x:c r="G16" s="32" t="n">
        <x:v>46266</x:v>
      </x:c>
      <x:c r="H16" s="21" t="str">
        <x:v>검토</x:v>
      </x:c>
      <x:c r="I16" s="21"/>
      <x:c r="J16" s="21"/>
      <x:c r="K16" s="21"/>
      <x:c r="L16" s="21"/>
      <x:c r="M16" s="21"/>
    </x:row>
    <x:row r="17" ht="30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</x:row>
    <x:row r="18" ht="30" customHeight="1">
      <x:c r="A18" s="21" t="str">
        <x:v>문서 간 충돌 포인트</x:v>
      </x:c>
      <x:c r="B18" s="21" t="str"/>
      <x:c r="C18" s="21" t="str"/>
      <x:c r="D18" s="21" t="str"/>
      <x:c r="E18" s="21" t="str"/>
      <x:c r="F18" s="21" t="str"/>
      <x:c r="G18" s="21" t="str"/>
      <x:c r="H18" s="21" t="str"/>
      <x:c r="I18" s="21"/>
      <x:c r="J18" s="21"/>
      <x:c r="K18" s="21"/>
      <x:c r="L18" s="21"/>
      <x:c r="M18" s="21"/>
    </x:row>
    <x:row r="19" ht="30" customHeight="1">
      <x:c r="A19" s="14" t="str">
        <x:v>충돌 항목</x:v>
      </x:c>
      <x:c r="B19" s="14" t="str">
        <x:v>사람 1</x:v>
      </x:c>
      <x:c r="C19" s="14" t="str">
        <x:v>사람 2</x:v>
      </x:c>
      <x:c r="D19" s="14" t="str">
        <x:v>사람 3</x:v>
      </x:c>
      <x:c r="E19" s="14" t="str">
        <x:v>사람 5</x:v>
      </x:c>
      <x:c r="F19" s="14" t="str">
        <x:v>해석 필요 포인트</x:v>
      </x:c>
      <x:c r="G19" s="14" t="str"/>
      <x:c r="H19" s="14" t="str"/>
      <x:c r="I19" s="21"/>
      <x:c r="J19" s="21"/>
      <x:c r="K19" s="21"/>
      <x:c r="L19" s="21"/>
      <x:c r="M19" s="21"/>
    </x:row>
    <x:row r="20" ht="30" customHeight="1">
      <x:c r="A20" s="21" t="str">
        <x:v>문서 수</x:v>
      </x:c>
      <x:c r="B20" s="21" t="str">
        <x:v>15,000건 전체 대상</x:v>
      </x:c>
      <x:c r="C20" s="21" t="str">
        <x:v>3,000건 파일럿</x:v>
      </x:c>
      <x:c r="D20" s="21" t="str">
        <x:v>12,400건 유효 문서</x:v>
      </x:c>
      <x:c r="E20" s="21" t="str">
        <x:v>월 비용 산정은 12,400건 기준</x:v>
      </x:c>
      <x:c r="F20" s="21" t="str">
        <x:v>전체/파일럿/정제 후 수치를 구분해야 함</x:v>
      </x:c>
      <x:c r="G20" s="21" t="str"/>
      <x:c r="H20" s="21" t="str"/>
      <x:c r="I20" s="21"/>
      <x:c r="J20" s="21"/>
      <x:c r="K20" s="21"/>
      <x:c r="L20" s="21"/>
      <x:c r="M20" s="21"/>
    </x:row>
    <x:row r="21" ht="30" customHeight="1">
      <x:c r="A21" s="21" t="str">
        <x:v>정확도</x:v>
      </x:c>
      <x:c r="B21" s="21" t="str">
        <x:v>정량 기준 필요</x:v>
      </x:c>
      <x:c r="C21" s="21" t="str">
        <x:v>권한/보안 우선</x:v>
      </x:c>
      <x:c r="D21" s="21" t="str">
        <x:v>Top-5 89%</x:v>
      </x:c>
      <x:c r="E21" s="21" t="str">
        <x:v>최소 86% 이상</x:v>
      </x:c>
      <x:c r="F21" s="21" t="str">
        <x:v>운영 기준선과 실험 최고치를 분리</x:v>
      </x:c>
      <x:c r="G21" s="21" t="str"/>
      <x:c r="H21" s="21" t="str"/>
      <x:c r="I21" s="21"/>
      <x:c r="J21" s="21"/>
      <x:c r="K21" s="21"/>
      <x:c r="L21" s="21"/>
      <x:c r="M21" s="21"/>
    </x:row>
    <x:row r="22" ht="30" customHeight="1">
      <x:c r="A22" s="21" t="str">
        <x:v>도입 일정</x:v>
      </x:c>
      <x:c r="B22" s="21" t="str">
        <x:v>분기 내 검토</x:v>
      </x:c>
      <x:c r="C22" s="21" t="str">
        <x:v>보안 검토 후</x:v>
      </x:c>
      <x:c r="D22" s="21" t="str">
        <x:v>2주 실험 후 확장</x:v>
      </x:c>
      <x:c r="E22" s="21" t="str">
        <x:v>월 비용 승인 후</x:v>
      </x:c>
      <x:c r="F22" s="21" t="str">
        <x:v>단계별 승인 게이트 필요</x:v>
      </x:c>
      <x:c r="G22" s="21" t="str"/>
      <x:c r="H22" s="21" t="str"/>
      <x:c r="I22" s="21"/>
      <x:c r="J22" s="21"/>
      <x:c r="K22" s="21"/>
      <x:c r="L22" s="21"/>
      <x:c r="M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</x:row>
  </x:sheetData>
  <x:mergeCells>
    <x:mergeCell ref="A1:H1"/>
    <x:mergeCell ref="A2:H2"/>
    <x:mergeCell ref="A10:H10"/>
    <x:mergeCell ref="A18:H18"/>
  </x:mergeCells>
  <x:dataValidations count="1">
    <x:dataValidation type="list" sqref="H12:H16">
      <x:formula1>"대기,진행중,검토,확정,완료"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f6203e68a42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20" t="str">
        <x:v>검색 방식별 성능 비교</x:v>
      </x:c>
      <x:c r="B1" s="20" t="str"/>
      <x:c r="C1" s="20" t="str"/>
      <x:c r="D1" s="20" t="str"/>
      <x:c r="E1" s="20" t="str"/>
      <x:c r="F1" s="20" t="str"/>
      <x:c r="G1" s="20" t="str"/>
      <x:c r="H1" s="21"/>
      <x:c r="I1" s="21"/>
      <x:c r="J1" s="21"/>
      <x:c r="K1" s="21"/>
      <x:c r="L1" s="21"/>
      <x:c r="M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>
      <x:c r="A3" s="14" t="str">
        <x:v>방식</x:v>
      </x:c>
      <x:c r="B3" s="14" t="str">
        <x:v>Top-5 정확도</x:v>
      </x:c>
      <x:c r="C3" s="14" t="str">
        <x:v>평균 응답시간(초)</x:v>
      </x:c>
      <x:c r="D3" s="14" t="str">
        <x:v>근거 표시율</x:v>
      </x:c>
      <x:c r="E3" s="14" t="str">
        <x:v>월 예상비용</x:v>
      </x:c>
      <x:c r="F3" s="14" t="str">
        <x:v>운영 적합 여부</x:v>
      </x:c>
      <x:c r="G3" s="14" t="str">
        <x:v>비고</x:v>
      </x:c>
      <x:c r="H3" s="14" t="str">
        <x:v>통과점수</x:v>
      </x:c>
      <x:c r="I3" s="14" t="str">
        <x:v>평가 기준</x:v>
      </x:c>
      <x:c r="J3" s="14" t="str">
        <x:v>기준값</x:v>
      </x:c>
      <x:c r="K3" s="14" t="str">
        <x:v>단위</x:v>
      </x:c>
      <x:c r="L3" s="14" t="str">
        <x:v>설명</x:v>
      </x:c>
      <x:c r="M3" s="14" t="str">
        <x:v>통과 조건</x:v>
      </x:c>
    </x:row>
    <x:row r="4">
      <x:c r="A4" s="21" t="str">
        <x:v>Keyword</x:v>
      </x:c>
      <x:c r="B4" s="24" t="n">
        <x:v>0.61</x:v>
      </x:c>
      <x:c r="C4" s="21" t="n">
        <x:v>1.2</x:v>
      </x:c>
      <x:c r="D4" s="24" t="n">
        <x:v>0.72</x:v>
      </x:c>
      <x:c r="E4" s="26" t="n">
        <x:v>750000</x:v>
      </x:c>
      <x:c r="F4" s="21" t="str">
        <x:v>부적합</x:v>
      </x:c>
      <x:c r="G4" s="21" t="str">
        <x:v>기존 검색 대비 개선 폭 작음</x:v>
      </x:c>
      <x:c r="H4" s="21" t="str">
        <x:f>IF(AND(B4&gt;=$J$4,C4&lt;=$J$5,D4&gt;=$J$6,E4&lt;=$J$7),"PASS","CHECK")</x:f>
        <x:v>CHECK</x:v>
      </x:c>
      <x:c r="I4" s="21" t="str">
        <x:v>최소 정확도</x:v>
      </x:c>
      <x:c r="J4" s="28" t="n">
        <x:v>0.86</x:v>
      </x:c>
      <x:c r="K4" s="21" t="str">
        <x:v>%</x:v>
      </x:c>
      <x:c r="L4" s="21" t="str">
        <x:v>운영 승인 최소 기준</x:v>
      </x:c>
      <x:c r="M4" s="21" t="str">
        <x:v>정확도&gt;=86%</x:v>
      </x:c>
    </x:row>
    <x:row r="5">
      <x:c r="A5" s="21" t="str">
        <x:v>Dense</x:v>
      </x:c>
      <x:c r="B5" s="24" t="n">
        <x:v>0.78</x:v>
      </x:c>
      <x:c r="C5" s="21" t="n">
        <x:v>2.1</x:v>
      </x:c>
      <x:c r="D5" s="24" t="n">
        <x:v>0.86</x:v>
      </x:c>
      <x:c r="E5" s="26" t="n">
        <x:v>1350000</x:v>
      </x:c>
      <x:c r="F5" s="21" t="str">
        <x:v>조건부</x:v>
      </x:c>
      <x:c r="G5" s="21" t="str">
        <x:v>의미 검색은 좋지만 오답 근거 일부 발생</x:v>
      </x:c>
      <x:c r="H5" s="21" t="str">
        <x:f>IF(AND(B5&gt;=$J$4,C5&lt;=$J$5,D5&gt;=$J$6,E5&lt;=$J$7),"PASS","CHECK")</x:f>
        <x:v>CHECK</x:v>
      </x:c>
      <x:c r="I5" s="21" t="str">
        <x:v>최대 응답시간</x:v>
      </x:c>
      <x:c r="J5" s="28" t="n">
        <x:v>3</x:v>
      </x:c>
      <x:c r="K5" s="21" t="str">
        <x:v>초</x:v>
      </x:c>
      <x:c r="L5" s="21" t="str">
        <x:v>사용자 체감 기준</x:v>
      </x:c>
      <x:c r="M5" s="21" t="str">
        <x:v>3초 이하</x:v>
      </x:c>
    </x:row>
    <x:row r="6">
      <x:c r="A6" s="21" t="str">
        <x:v>Hybrid</x:v>
      </x:c>
      <x:c r="B6" s="24" t="n">
        <x:v>0.84</x:v>
      </x:c>
      <x:c r="C6" s="21" t="n">
        <x:v>2.6</x:v>
      </x:c>
      <x:c r="D6" s="24" t="n">
        <x:v>0.92</x:v>
      </x:c>
      <x:c r="E6" s="26" t="n">
        <x:v>1600000</x:v>
      </x:c>
      <x:c r="F6" s="21" t="str">
        <x:v>조건부</x:v>
      </x:c>
      <x:c r="G6" s="21" t="str">
        <x:v>키워드+벡터 결합</x:v>
      </x:c>
      <x:c r="H6" s="21" t="str">
        <x:f>IF(AND(B6&gt;=$J$4,C6&lt;=$J$5,D6&gt;=$J$6,E6&lt;=$J$7),"PASS","CHECK")</x:f>
        <x:v>CHECK</x:v>
      </x:c>
      <x:c r="I6" s="21" t="str">
        <x:v>최소 근거 표시율</x:v>
      </x:c>
      <x:c r="J6" s="28" t="n">
        <x:v>0.95</x:v>
      </x:c>
      <x:c r="K6" s="21" t="str">
        <x:v>%</x:v>
      </x:c>
      <x:c r="L6" s="21" t="str">
        <x:v>출처 신뢰성 기준</x:v>
      </x:c>
      <x:c r="M6" s="21" t="str">
        <x:v>95% 이상</x:v>
      </x:c>
    </x:row>
    <x:row r="7">
      <x:c r="A7" s="21" t="str">
        <x:v>Hybrid+Rerank</x:v>
      </x:c>
      <x:c r="B7" s="24" t="n">
        <x:v>0.89</x:v>
      </x:c>
      <x:c r="C7" s="21" t="n">
        <x:v>3.1</x:v>
      </x:c>
      <x:c r="D7" s="24" t="n">
        <x:v>0.97</x:v>
      </x:c>
      <x:c r="E7" s="26" t="n">
        <x:v>1900000</x:v>
      </x:c>
      <x:c r="F7" s="21" t="str">
        <x:v>비용 조정 필요</x:v>
      </x:c>
      <x:c r="G7" s="21" t="str">
        <x:v>성능 최고, 비용 상한 초과</x:v>
      </x:c>
      <x:c r="H7" s="21" t="str">
        <x:f>IF(AND(B7&gt;=$J$4,C7&lt;=$J$5,D7&gt;=$J$6,E7&lt;=$J$7),"PASS","CHECK")</x:f>
        <x:v>CHECK</x:v>
      </x:c>
      <x:c r="I7" s="21" t="str">
        <x:v>최대 월 비용</x:v>
      </x:c>
      <x:c r="J7" s="28" t="n">
        <x:v>1800000</x:v>
      </x:c>
      <x:c r="K7" s="21" t="str">
        <x:v>원</x:v>
      </x:c>
      <x:c r="L7" s="21" t="str">
        <x:v>재무 승인 기준</x:v>
      </x:c>
      <x:c r="M7" s="21" t="str">
        <x:v>180만원 이하</x:v>
      </x:c>
    </x:row>
    <x:row r="8">
      <x:c r="A8" s="21" t="str">
        <x:v>Hybrid+Light Rerank</x:v>
      </x:c>
      <x:c r="B8" s="24" t="n">
        <x:v>0.87</x:v>
      </x:c>
      <x:c r="C8" s="21" t="n">
        <x:v>2.8</x:v>
      </x:c>
      <x:c r="D8" s="24" t="n">
        <x:v>0.95</x:v>
      </x:c>
      <x:c r="E8" s="26" t="n">
        <x:v>1780000</x:v>
      </x:c>
      <x:c r="F8" s="21" t="str">
        <x:v>적합</x:v>
      </x:c>
      <x:c r="G8" s="21" t="str">
        <x:v>운영팀 비용 기준 충족</x:v>
      </x:c>
      <x:c r="H8" s="21" t="str">
        <x:f>IF(AND(B8&gt;=$J$4,C8&lt;=$J$5,D8&gt;=$J$6,E8&lt;=$J$7),"PASS","CHECK")</x:f>
        <x:v>PASS</x:v>
      </x:c>
      <x:c r="I8" s="21" t="str">
        <x:v>문서 최신화 주기</x:v>
      </x:c>
      <x:c r="J8" s="28" t="n">
        <x:v>24</x:v>
      </x:c>
      <x:c r="K8" s="21" t="str">
        <x:v>시간</x:v>
      </x:c>
      <x:c r="L8" s="21" t="str">
        <x:v>회의록 반영 지연 허용치</x:v>
      </x:c>
      <x:c r="M8" s="21" t="str">
        <x:v>하루 이내</x:v>
      </x:c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</x:row>
  </x:sheetData>
  <x:mergeCells>
    <x:mergeCell ref="A1:G1"/>
  </x:mergeCells>
  <x:conditionalFormatting sqref="H4:H8">
    <x:cfRule type="expression" dxfId="0" priority="1">
      <x:formula>H4="PASS"</x:formula>
    </x:cfRule>
    <x:cfRule type="expression" dxfId="1" priority="2">
      <x:formula>H4="CHECK"</x:formula>
    </x:cfRule>
  </x:conditionalFormatting>
  <x:conditionalFormatting sqref="B4:B8">
    <x:cfRule type="dataBar" priority="3">
      <x:dataBar>
        <x:cfvo type="min"/>
        <x:cfvo type="max"/>
        <x:color rgb="FF0EA5E9"/>
      </x:dataBar>
      <x:extLst>
        <x:ext xmlns:x14="http://schemas.microsoft.com/office/spreadsheetml/2009/9/main" uri="{B025F937-C7B1-47D3-B67F-A62EFF666E3E}">
          <x14:id>{687489AC-1A7D-ECFA-81A3-21087E748162}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50848b630ab4242"/>
  <x:tableParts count="1">
    <x:tablePart xmlns:r="http://schemas.openxmlformats.org/officeDocument/2006/relationships" r:id="Re039a885cb9745e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687489AC-1A7D-ECFA-81A3-21087E748162}">
            <x14:dataBar gradient="1">
              <x14:cfvo type="min"/>
              <x14:cfvo type="max"/>
              <x14:fillColor rgb="FF0EA5E9"/>
            </x14:dataBar>
          </x14:cfRule>
          <xm:sqref>B4:B8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20" t="str">
        <x:v>월 운영비 산정 모델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1"/>
      <x:c r="J1" s="21"/>
      <x:c r="K1" s="21"/>
      <x:c r="L1" s="21"/>
      <x:c r="M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>
      <x:c r="A3" s="14" t="str">
        <x:v>비용 항목</x:v>
      </x:c>
      <x:c r="B3" s="14" t="str">
        <x:v>단가</x:v>
      </x:c>
      <x:c r="C3" s="14" t="str">
        <x:v>수량</x:v>
      </x:c>
      <x:c r="D3" s="14" t="str">
        <x:v>월 횟수</x:v>
      </x:c>
      <x:c r="E3" s="14" t="str">
        <x:v>월 비용</x:v>
      </x:c>
      <x:c r="F3" s="14" t="str">
        <x:v>비중</x:v>
      </x:c>
      <x:c r="G3" s="14" t="str">
        <x:v>상한 대비</x:v>
      </x:c>
      <x:c r="H3" s="14" t="str">
        <x:v>비고</x:v>
      </x:c>
      <x:c r="I3" s="21"/>
      <x:c r="J3" s="21"/>
      <x:c r="K3" s="21"/>
      <x:c r="L3" s="21"/>
      <x:c r="M3" s="21"/>
    </x:row>
    <x:row r="4">
      <x:c r="A4" s="21" t="str">
        <x:v>Embedding 재생성</x:v>
      </x:c>
      <x:c r="B4" s="30" t="n">
        <x:v>42</x:v>
      </x:c>
      <x:c r="C4" s="30" t="n">
        <x:v>12400</x:v>
      </x:c>
      <x:c r="D4" s="30" t="n">
        <x:v>2</x:v>
      </x:c>
      <x:c r="E4" s="30" t="n">
        <x:f>B4*C4*D4</x:f>
        <x:v>1041600</x:v>
      </x:c>
      <x:c r="F4" s="24" t="n">
        <x:f>E4/$E$9</x:f>
        <x:v>0.3505182393323462</x:v>
      </x:c>
      <x:c r="G4" s="24" t="n">
        <x:f>E4/1800000</x:f>
        <x:v>0.5786666666666667</x:v>
      </x:c>
      <x:c r="H4" s="21" t="str">
        <x:v>정제 후 유효 문서 12,400건 기준</x:v>
      </x:c>
      <x:c r="I4" s="21"/>
      <x:c r="J4" s="21"/>
      <x:c r="K4" s="21"/>
      <x:c r="L4" s="21"/>
      <x:c r="M4" s="21"/>
    </x:row>
    <x:row r="5">
      <x:c r="A5" s="21" t="str">
        <x:v>Vector DB</x:v>
      </x:c>
      <x:c r="B5" s="30" t="n">
        <x:v>280000</x:v>
      </x:c>
      <x:c r="C5" s="30" t="n">
        <x:v>1</x:v>
      </x:c>
      <x:c r="D5" s="30" t="n">
        <x:v>1</x:v>
      </x:c>
      <x:c r="E5" s="30" t="n">
        <x:f>B5*C5*D5</x:f>
        <x:v>280000</x:v>
      </x:c>
      <x:c r="F5" s="24" t="n">
        <x:f>E5/$E$9</x:f>
        <x:v>0.0942253331538565</x:v>
      </x:c>
      <x:c r="G5" s="24" t="n">
        <x:f>E5/1800000</x:f>
        <x:v>0.15555555555555556</x:v>
      </x:c>
      <x:c r="H5" s="21" t="str">
        <x:v>스토리지+인덱스</x:v>
      </x:c>
      <x:c r="I5" s="21"/>
      <x:c r="J5" s="21"/>
      <x:c r="K5" s="21"/>
      <x:c r="L5" s="21"/>
      <x:c r="M5" s="21"/>
    </x:row>
    <x:row r="6">
      <x:c r="A6" s="21" t="str">
        <x:v>LLM API</x:v>
      </x:c>
      <x:c r="B6" s="30" t="n">
        <x:v>38</x:v>
      </x:c>
      <x:c r="C6" s="30" t="n">
        <x:v>6000</x:v>
      </x:c>
      <x:c r="D6" s="30" t="n">
        <x:v>5</x:v>
      </x:c>
      <x:c r="E6" s="30" t="n">
        <x:f>B6*C6*D6</x:f>
        <x:v>1140000</x:v>
      </x:c>
      <x:c r="F6" s="24" t="n">
        <x:f>E6/$E$9</x:f>
        <x:v>0.3836317135549872</x:v>
      </x:c>
      <x:c r="G6" s="24" t="n">
        <x:f>E6/1800000</x:f>
        <x:v>0.6333333333333333</x:v>
      </x:c>
      <x:c r="H6" s="21" t="str">
        <x:v>일 평균 6,000 질의, 업무일 5주 가정</x:v>
      </x:c>
      <x:c r="I6" s="21"/>
      <x:c r="J6" s="21"/>
      <x:c r="K6" s="21"/>
      <x:c r="L6" s="21"/>
      <x:c r="M6" s="21"/>
    </x:row>
    <x:row r="7">
      <x:c r="A7" s="21" t="str">
        <x:v>Rerank API</x:v>
      </x:c>
      <x:c r="B7" s="30" t="n">
        <x:v>12</x:v>
      </x:c>
      <x:c r="C7" s="30" t="n">
        <x:v>6000</x:v>
      </x:c>
      <x:c r="D7" s="30" t="n">
        <x:v>5</x:v>
      </x:c>
      <x:c r="E7" s="30" t="n">
        <x:f>B7*C7*D7</x:f>
        <x:v>360000</x:v>
      </x:c>
      <x:c r="F7" s="24" t="n">
        <x:f>E7/$E$9</x:f>
        <x:v>0.12114685691210123</x:v>
      </x:c>
      <x:c r="G7" s="24" t="n">
        <x:f>E7/1800000</x:f>
        <x:v>0.2</x:v>
      </x:c>
      <x:c r="H7" s="21" t="str">
        <x:v>Top-20 후보 재정렬</x:v>
      </x:c>
      <x:c r="I7" s="21"/>
      <x:c r="J7" s="21"/>
      <x:c r="K7" s="21"/>
      <x:c r="L7" s="21"/>
      <x:c r="M7" s="21"/>
    </x:row>
    <x:row r="8">
      <x:c r="A8" s="21" t="str">
        <x:v>모니터링</x:v>
      </x:c>
      <x:c r="B8" s="30" t="n">
        <x:v>150000</x:v>
      </x:c>
      <x:c r="C8" s="30" t="n">
        <x:v>1</x:v>
      </x:c>
      <x:c r="D8" s="30" t="n">
        <x:v>1</x:v>
      </x:c>
      <x:c r="E8" s="30" t="n">
        <x:f>B8*C8*D8</x:f>
        <x:v>150000</x:v>
      </x:c>
      <x:c r="F8" s="24" t="n">
        <x:f>E8/$E$9</x:f>
        <x:v>0.050477857046708846</x:v>
      </x:c>
      <x:c r="G8" s="24" t="n">
        <x:f>E8/1800000</x:f>
        <x:v>0.08333333333333333</x:v>
      </x:c>
      <x:c r="H8" s="21" t="str">
        <x:v>로그/품질 대시보드</x:v>
      </x:c>
      <x:c r="I8" s="21"/>
      <x:c r="J8" s="21"/>
      <x:c r="K8" s="21"/>
      <x:c r="L8" s="21"/>
      <x:c r="M8" s="21"/>
    </x:row>
    <x:row r="9">
      <x:c r="A9" s="21" t="str">
        <x:v>합계</x:v>
      </x:c>
      <x:c r="B9" s="30"/>
      <x:c r="C9" s="30"/>
      <x:c r="D9" s="30"/>
      <x:c r="E9" s="30" t="n">
        <x:f>SUM(E4:E8)</x:f>
        <x:v>2971600</x:v>
      </x:c>
      <x:c r="F9" s="24"/>
      <x:c r="G9" s="24" t="n">
        <x:f>E9/1800000</x:f>
        <x:v>1.6508888888888889</x:v>
      </x:c>
      <x:c r="H9" s="21" t="str">
        <x:v>월 목표 비용 180만원 이하</x:v>
      </x:c>
      <x:c r="I9" s="21"/>
      <x:c r="J9" s="21"/>
      <x:c r="K9" s="21"/>
      <x:c r="L9" s="21"/>
      <x:c r="M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</x:row>
    <x:row r="12">
      <x:c r="A12" s="14" t="str">
        <x:v>민감도</x:v>
      </x:c>
      <x:c r="B12" s="14" t="str">
        <x:v>질의 수 20% 증가</x:v>
      </x:c>
      <x:c r="C12" s="14" t="str">
        <x:v>질의 수 40% 증가</x:v>
      </x:c>
      <x:c r="D12" s="14" t="str">
        <x:v>Rerank 제거</x:v>
      </x:c>
      <x:c r="E12" s="14" t="str">
        <x:v>해석</x:v>
      </x:c>
      <x:c r="F12" s="21"/>
      <x:c r="G12" s="21"/>
      <x:c r="H12" s="21"/>
      <x:c r="I12" s="21"/>
      <x:c r="J12" s="21"/>
      <x:c r="K12" s="21"/>
      <x:c r="L12" s="21"/>
      <x:c r="M12" s="21"/>
    </x:row>
    <x:row r="13">
      <x:c r="A13" s="21" t="str">
        <x:v>예상 월 비용</x:v>
      </x:c>
      <x:c r="B13" s="26" t="n">
        <x:f>$E$9+($E$6+$E$7)*0.2</x:f>
        <x:v>3271600</x:v>
      </x:c>
      <x:c r="C13" s="26" t="n">
        <x:f>$E$9+($E$6+$E$7)*0.4</x:f>
        <x:v>3571600</x:v>
      </x:c>
      <x:c r="D13" s="26" t="n">
        <x:f>$E$9-$E$7</x:f>
        <x:v>2611600</x:v>
      </x:c>
      <x:c r="E13" s="21" t="str">
        <x:v>비용 상한 초과 여부 확인</x:v>
      </x:c>
      <x:c r="F13" s="21"/>
      <x:c r="G13" s="21"/>
      <x:c r="H13" s="21"/>
      <x:c r="I13" s="21"/>
      <x:c r="J13" s="21"/>
      <x:c r="K13" s="21"/>
      <x:c r="L13" s="21"/>
      <x:c r="M13" s="21"/>
    </x:row>
    <x:row r="14">
      <x:c r="A14" s="21" t="str">
        <x:v>정확도 예상</x:v>
      </x:c>
      <x:c r="B14" s="21" t="n">
        <x:v>0.87</x:v>
      </x:c>
      <x:c r="C14" s="21" t="n">
        <x:v>0.87</x:v>
      </x:c>
      <x:c r="D14" s="21" t="n">
        <x:v>0.84</x:v>
      </x:c>
      <x:c r="E14" s="21" t="str">
        <x:v>Rerank 제거 시 정확도 하락</x:v>
      </x:c>
      <x:c r="F14" s="21"/>
      <x:c r="G14" s="21"/>
      <x:c r="H14" s="21"/>
      <x:c r="I14" s="21"/>
      <x:c r="J14" s="21"/>
      <x:c r="K14" s="21"/>
      <x:c r="L14" s="21"/>
      <x:c r="M14" s="21"/>
    </x:row>
    <x:row r="15">
      <x:c r="A15" s="21" t="str">
        <x:v>응답시간 예상</x:v>
      </x:c>
      <x:c r="B15" s="21" t="n">
        <x:v>2.9</x:v>
      </x:c>
      <x:c r="C15" s="21" t="n">
        <x:v>3</x:v>
      </x:c>
      <x:c r="D15" s="21" t="n">
        <x:v>2.3</x:v>
      </x:c>
      <x:c r="E15" s="21" t="str">
        <x:v>트래픽 증가 시 지연 가능</x:v>
      </x:c>
      <x:c r="F15" s="21"/>
      <x:c r="G15" s="21"/>
      <x:c r="H15" s="21"/>
      <x:c r="I15" s="21"/>
      <x:c r="J15" s="21"/>
      <x:c r="K15" s="21"/>
      <x:c r="L15" s="21"/>
      <x:c r="M15" s="21"/>
    </x:row>
    <x:row r="16">
      <x:c r="A16" s="21" t="str">
        <x:v>결론</x:v>
      </x:c>
      <x:c r="B16" s="21" t="str">
        <x:v>조건부 승인</x:v>
      </x:c>
      <x:c r="C16" s="21" t="str">
        <x:v>비용 재검토</x:v>
      </x:c>
      <x:c r="D16" s="21" t="str">
        <x:v>정확도 미달 가능</x:v>
      </x:c>
      <x:c r="E16" s="21" t="str">
        <x:v>운영팀 의견 반영 필요</x:v>
      </x:c>
      <x:c r="F16" s="21"/>
      <x:c r="G16" s="21"/>
      <x:c r="H16" s="21"/>
      <x:c r="I16" s="21"/>
      <x:c r="J16" s="21"/>
      <x:c r="K16" s="21"/>
      <x:c r="L16" s="21"/>
      <x:c r="M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</x:row>
  </x:sheetData>
  <x:mergeCells>
    <x:mergeCell ref="A1:H1"/>
  </x:mergeCells>
  <x:conditionalFormatting sqref="G4:G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{744C8360-0B11-D504-B8D3-B8A5EDA4D556}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6769473961547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4C8360-0B11-D504-B8D3-B8A5EDA4D556}">
            <x14:dataBar gradient="1">
              <x14:cfvo type="min"/>
              <x14:cfvo type="max"/>
              <x14:fillColor rgb="FF2563EB"/>
            </x14:dataBar>
          </x14:cfRule>
          <xm:sqref>G4:G9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6" hidden="0" customWidth="1"/>
    <x:col min="4" max="4" width="44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20" t="str">
        <x:v>LLM 평가 질문 세트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1"/>
      <x:c r="J1" s="21"/>
      <x:c r="K1" s="21"/>
      <x:c r="L1" s="21"/>
      <x:c r="M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>
      <x:c r="A3" s="14" t="str">
        <x:v>질문ID</x:v>
      </x:c>
      <x:c r="B3" s="14" t="str">
        <x:v>질문</x:v>
      </x:c>
      <x:c r="C3" s="14" t="str">
        <x:v>필요 파일</x:v>
      </x:c>
      <x:c r="D3" s="14" t="str">
        <x:v>정답 포인트</x:v>
      </x:c>
      <x:c r="E3" s="14" t="str">
        <x:v>난이도</x:v>
      </x:c>
      <x:c r="F3" s="14" t="str">
        <x:v>평가 기준</x:v>
      </x:c>
      <x:c r="G3" s="14" t="str">
        <x:v>예상 근거</x:v>
      </x:c>
      <x:c r="H3" s="14" t="str">
        <x:v>메모</x:v>
      </x:c>
      <x:c r="I3" s="21"/>
      <x:c r="J3" s="21"/>
      <x:c r="K3" s="21"/>
      <x:c r="L3" s="21"/>
      <x:c r="M3" s="21"/>
    </x:row>
    <x:row r="4">
      <x:c r="A4" s="21" t="str">
        <x:v>Q1</x:v>
      </x:c>
      <x:c r="B4" s="21" t="str">
        <x:v>문서 수가 서로 다르게 언급된 이유를 설명하라</x:v>
      </x:c>
      <x:c r="C4" s="21" t="str">
        <x:v>DOCX/PDF/HWP/XLSX</x:v>
      </x:c>
      <x:c r="D4" s="21" t="str">
        <x:v>15,000 전체, 3,000 파일럿, 12,400 정제 후 유효 문서 구분</x:v>
      </x:c>
      <x:c r="E4" s="21" t="str">
        <x:v>상</x:v>
      </x:c>
      <x:c r="F4" s="21" t="str">
        <x:v>충돌 수치 정리</x:v>
      </x:c>
      <x:c r="G4" s="21" t="str">
        <x:v>사람1/2/3/5</x:v>
      </x:c>
      <x:c r="H4" s="21" t="str">
        <x:v>멀티문서</x:v>
      </x:c>
      <x:c r="I4" s="21"/>
      <x:c r="J4" s="21"/>
      <x:c r="K4" s="21"/>
      <x:c r="L4" s="21"/>
      <x:c r="M4" s="21"/>
    </x:row>
    <x:row r="5">
      <x:c r="A5" s="21" t="str">
        <x:v>Q2</x:v>
      </x:c>
      <x:c r="B5" s="21" t="str">
        <x:v>운영 승인에 가장 적합한 검색 방식은?</x:v>
      </x:c>
      <x:c r="C5" s="21" t="str">
        <x:v>PNG/XLSX</x:v>
      </x:c>
      <x:c r="D5" s="21" t="str">
        <x:v>Hybrid+Light Rerank: 정확도 87%, 2.8초, 178만원</x:v>
      </x:c>
      <x:c r="E5" s="21" t="str">
        <x:v>상</x:v>
      </x:c>
      <x:c r="F5" s="21" t="str">
        <x:v>정확도·시간·비용 동시 만족</x:v>
      </x:c>
      <x:c r="G5" s="21" t="str">
        <x:v>이미지+스프레드시트</x:v>
      </x:c>
      <x:c r="H5" s="21" t="str">
        <x:v>표/이미지</x:v>
      </x:c>
      <x:c r="I5" s="21"/>
      <x:c r="J5" s="21"/>
      <x:c r="K5" s="21"/>
      <x:c r="L5" s="21"/>
      <x:c r="M5" s="21"/>
    </x:row>
    <x:row r="6">
      <x:c r="A6" s="21" t="str">
        <x:v>Q3</x:v>
      </x:c>
      <x:c r="B6" s="21" t="str">
        <x:v>보안팀이 요구한 권한 처리 방식은?</x:v>
      </x:c>
      <x:c r="C6" s="21" t="str">
        <x:v>PDF/PPTX/XLSX</x:v>
      </x:c>
      <x:c r="D6" s="21" t="str">
        <x:v>문단 단위 ACL과 근거 표시</x:v>
      </x:c>
      <x:c r="E6" s="21" t="str">
        <x:v>중</x:v>
      </x:c>
      <x:c r="F6" s="21" t="str">
        <x:v>정책 요구사항 식별</x:v>
      </x:c>
      <x:c r="G6" s="21" t="str">
        <x:v>사람2/4/5</x:v>
      </x:c>
      <x:c r="H6" s="21" t="str">
        <x:v>정책</x:v>
      </x:c>
      <x:c r="I6" s="21"/>
      <x:c r="J6" s="21"/>
      <x:c r="K6" s="21"/>
      <x:c r="L6" s="21"/>
      <x:c r="M6" s="21"/>
    </x:row>
    <x:row r="7">
      <x:c r="A7" s="21" t="str">
        <x:v>Q4</x:v>
      </x:c>
      <x:c r="B7" s="21" t="str">
        <x:v>비용 상한 초과 리스크가 있는 방식은?</x:v>
      </x:c>
      <x:c r="C7" s="21" t="str">
        <x:v>XLSX/PPTX</x:v>
      </x:c>
      <x:c r="D7" s="21" t="str">
        <x:v>Hybrid+Rerank는 190만원으로 상한 초과</x:v>
      </x:c>
      <x:c r="E7" s="21" t="str">
        <x:v>중</x:v>
      </x:c>
      <x:c r="F7" s="21" t="str">
        <x:v>계산 근거 확인</x:v>
      </x:c>
      <x:c r="G7" s="21" t="str">
        <x:v>성능표/비용모델</x:v>
      </x:c>
      <x:c r="H7" s="21" t="str">
        <x:v>계산</x:v>
      </x:c>
      <x:c r="I7" s="21"/>
      <x:c r="J7" s="21"/>
      <x:c r="K7" s="21"/>
      <x:c r="L7" s="21"/>
      <x:c r="M7" s="21"/>
    </x:row>
    <x:row r="8">
      <x:c r="A8" s="21" t="str">
        <x:v>Q5</x:v>
      </x:c>
      <x:c r="B8" s="21" t="str">
        <x:v>실패 시 fallback 전략은?</x:v>
      </x:c>
      <x:c r="C8" s="21" t="str">
        <x:v>JPEG/PPTX</x:v>
      </x:c>
      <x:c r="D8" s="21" t="str">
        <x:v>수동 검색 전환 및 장애 시 알림</x:v>
      </x:c>
      <x:c r="E8" s="21" t="str">
        <x:v>하</x:v>
      </x:c>
      <x:c r="F8" s="21" t="str">
        <x:v>운영 KPI 확인</x:v>
      </x:c>
      <x:c r="G8" s="21" t="str">
        <x:v>사람6/운영팀</x:v>
      </x:c>
      <x:c r="H8" s="21" t="str">
        <x:v>이미지</x:v>
      </x:c>
      <x:c r="I8" s="21"/>
      <x:c r="J8" s="21"/>
      <x:c r="K8" s="21"/>
      <x:c r="L8" s="21"/>
      <x:c r="M8" s="21"/>
    </x:row>
    <x:row r="9">
      <x:c r="A9" s="21" t="str">
        <x:v>Q6</x:v>
      </x:c>
      <x:c r="B9" s="21" t="str">
        <x:v>도입 전에 필요한 선행 작업 3가지는?</x:v>
      </x:c>
      <x:c r="C9" s="21" t="str">
        <x:v>전체</x:v>
      </x:c>
      <x:c r="D9" s="21" t="str">
        <x:v>평가셋 정비, 권한 매핑, 로그/모니터링</x:v>
      </x:c>
      <x:c r="E9" s="21" t="str">
        <x:v>중</x:v>
      </x:c>
      <x:c r="F9" s="21" t="str">
        <x:v>문서 종합</x:v>
      </x:c>
      <x:c r="G9" s="21" t="str">
        <x:v>모든 자료</x:v>
      </x:c>
      <x:c r="H9" s="21" t="str">
        <x:v>요약</x:v>
      </x:c>
      <x:c r="I9" s="21"/>
      <x:c r="J9" s="21"/>
      <x:c r="K9" s="21"/>
      <x:c r="L9" s="21"/>
      <x:c r="M9" s="21"/>
    </x:row>
    <x:row r="10">
      <x:c r="A10" s="21" t="str">
        <x:v>Q7</x:v>
      </x:c>
      <x:c r="B10" s="21" t="str">
        <x:v>Top-20과 Top-5의 의미를 설명하라</x:v>
      </x:c>
      <x:c r="C10" s="21" t="str">
        <x:v>PNG/PPTX</x:v>
      </x:c>
      <x:c r="D10" s="21" t="str">
        <x:v>후보 문서 20개 검색 후 재정렬해 상위 5개를 제시</x:v>
      </x:c>
      <x:c r="E10" s="21" t="str">
        <x:v>상</x:v>
      </x:c>
      <x:c r="F10" s="21" t="str">
        <x:v>RAG 파이프라인 이해</x:v>
      </x:c>
      <x:c r="G10" s="21" t="str">
        <x:v>이미지/슬라이드</x:v>
      </x:c>
      <x:c r="H10" s="21" t="str">
        <x:v>개념</x:v>
      </x:c>
      <x:c r="I10" s="21"/>
      <x:c r="J10" s="21"/>
      <x:c r="K10" s="21"/>
      <x:c r="L10" s="21"/>
      <x:c r="M10" s="21"/>
    </x:row>
    <x:row r="11">
      <x:c r="A11" s="21" t="str">
        <x:v>Q8</x:v>
      </x:c>
      <x:c r="B11" s="21" t="str">
        <x:v>월 비용이 180만원 이하가 되어야 하는 이유는?</x:v>
      </x:c>
      <x:c r="C11" s="21" t="str">
        <x:v>XLSX/JPEG</x:v>
      </x:c>
      <x:c r="D11" s="21" t="str">
        <x:v>재무·운영 승인 기준선</x:v>
      </x:c>
      <x:c r="E11" s="21" t="str">
        <x:v>하</x:v>
      </x:c>
      <x:c r="F11" s="21" t="str">
        <x:v>제약 조건 인식</x:v>
      </x:c>
      <x:c r="G11" s="21" t="str">
        <x:v>사람5/6</x:v>
      </x:c>
      <x:c r="H11" s="21" t="str">
        <x:v>정책</x:v>
      </x:c>
      <x:c r="I11" s="21"/>
      <x:c r="J11" s="21"/>
      <x:c r="K11" s="21"/>
      <x:c r="L11" s="21"/>
      <x:c r="M11" s="21"/>
    </x:row>
    <x:row r="12">
      <x:c r="A12" s="21" t="str">
        <x:v>Q9</x:v>
      </x:c>
      <x:c r="B12" s="21" t="str">
        <x:v>가장 먼저 파일럿할 부서는?</x:v>
      </x:c>
      <x:c r="C12" s="21" t="str">
        <x:v>PPTX/XLSX</x:v>
      </x:c>
      <x:c r="D12" s="21" t="str">
        <x:v>고객지원팀과 기획팀</x:v>
      </x:c>
      <x:c r="E12" s="21" t="str">
        <x:v>중</x:v>
      </x:c>
      <x:c r="F12" s="21" t="str">
        <x:v>일정표 확인</x:v>
      </x:c>
      <x:c r="G12" s="21" t="str">
        <x:v>슬라이드/요약표</x:v>
      </x:c>
      <x:c r="H12" s="21" t="str">
        <x:v>로드맵</x:v>
      </x:c>
      <x:c r="I12" s="21"/>
      <x:c r="J12" s="21"/>
      <x:c r="K12" s="21"/>
      <x:c r="L12" s="21"/>
      <x:c r="M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8a4a1f66d494378"/>
  </x:tableParts>
</x:worksheet>
</file>